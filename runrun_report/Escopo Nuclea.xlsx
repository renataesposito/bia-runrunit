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caiofs\Downloads\"/>
    </mc:Choice>
  </mc:AlternateContent>
  <xr:revisionPtr revIDLastSave="0" documentId="13_ncr:1_{FF7ED2E4-3A2D-4852-8184-947E65D9CB77}" xr6:coauthVersionLast="47" xr6:coauthVersionMax="47" xr10:uidLastSave="{00000000-0000-0000-0000-000000000000}"/>
  <bookViews>
    <workbookView xWindow="9300" yWindow="3000" windowWidth="12540" windowHeight="10965" firstSheet="1" activeTab="1" xr2:uid="{00000000-000D-0000-FFFF-FFFF00000000}"/>
  </bookViews>
  <sheets>
    <sheet name="Planilha1" sheetId="1" state="hidden" r:id="rId1"/>
    <sheet name="PRO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9" i="2"/>
  <c r="D10" i="2"/>
  <c r="D18" i="2"/>
  <c r="D19" i="2"/>
  <c r="D20" i="2"/>
  <c r="D21" i="2"/>
  <c r="D23" i="2"/>
  <c r="D24" i="2"/>
  <c r="D26" i="2"/>
  <c r="D27" i="2"/>
  <c r="D28" i="2"/>
  <c r="D29" i="2"/>
  <c r="D3" i="2"/>
</calcChain>
</file>

<file path=xl/sharedStrings.xml><?xml version="1.0" encoding="utf-8"?>
<sst xmlns="http://schemas.openxmlformats.org/spreadsheetml/2006/main" count="125" uniqueCount="79">
  <si>
    <t>PROJETO</t>
  </si>
  <si>
    <t>DESCRITIVO</t>
  </si>
  <si>
    <t>ENTREGA/MÊS</t>
  </si>
  <si>
    <t>ENTREGA/ANO</t>
  </si>
  <si>
    <t>Redes Sociais</t>
  </si>
  <si>
    <t>Posts estáticos ou carrossel: Institucional, Marca Empregadora e Produtos - Contempla planejamento de pauta, conteúdo e criação de arte</t>
  </si>
  <si>
    <t>Stories - Contempla planejamento de pauta, conteúdo e criação de arte</t>
  </si>
  <si>
    <t>Reels ou vídeos curtos - Contempla planejamento de pauta, conteúdo, criação de arte e animação em motion</t>
  </si>
  <si>
    <t>Mídia Paga (anúncios)</t>
  </si>
  <si>
    <t>5 campanhas anuais com conteúdo para Meta Ads, Criativos de Programática, Linkedin Ads e Youtube (Google) - Contempla peças estáticas, média de 10 peças por campanha</t>
  </si>
  <si>
    <t>Conteúdo Rico</t>
  </si>
  <si>
    <t>Landing pages (para campanhas e uso no RD)</t>
  </si>
  <si>
    <t>Artigos para o blog e publicação no Wordpress</t>
  </si>
  <si>
    <t>E-mail Marketing</t>
  </si>
  <si>
    <t>Newsletter</t>
  </si>
  <si>
    <t>Campanhas pontuais: e-mail único</t>
  </si>
  <si>
    <t>Fluxos automatizados (nutrição): 1 fluxo por semestre</t>
  </si>
  <si>
    <t>Apoio Comercial</t>
  </si>
  <si>
    <t>Apresentações corporativas - Contempla até 30 slides por apresentação</t>
  </si>
  <si>
    <t>Apoio com Eventos</t>
  </si>
  <si>
    <t>Eventos Patrocinados) Post para as redes sociais pré-evento</t>
  </si>
  <si>
    <t>Eventos Patrocinados) Post para as redes sociais pós-evento</t>
  </si>
  <si>
    <t>Eventos Patrocinados) E-mail de convite</t>
  </si>
  <si>
    <t>Eventos Patrocinados) Layout para stand (Backdrop, Testeira e Folder)</t>
  </si>
  <si>
    <t>Núclea Day) E-mail de convite</t>
  </si>
  <si>
    <t>Núclea Day) Peça de WhatsApp</t>
  </si>
  <si>
    <t>Núclea Day) Post pré-evento</t>
  </si>
  <si>
    <t>Núclea Day) Post pós-evento</t>
  </si>
  <si>
    <t>Núclea Day) KV</t>
  </si>
  <si>
    <t>Mobilização</t>
  </si>
  <si>
    <t>Wallpaper</t>
  </si>
  <si>
    <t>Banner Intranet – 4 banners/mês</t>
  </si>
  <si>
    <t>Campanhas Internas) E-mail (Dia das Mães, Dia dos Pais, Dia das Crianças, SIPAT, Mês da Diversidade, Mês do Orgulho, Dia das Mulheres, etc)</t>
  </si>
  <si>
    <t>Campanhas Internas) Peça para TV (Dia das Mães, Dia dos Pais, Dia das Crianças, SIPAT, Mês da Diversidade, Mês do Orgulho, Dia das Mulheres, etc)</t>
  </si>
  <si>
    <t>Campanhas Internas) Peça para Yammer (Dia das Mães, Dia dos Pais, Dia das Crianças, SIPAT, Mês da Diversidade, Mês do Orgulho, Dia das Mulheres, etc)</t>
  </si>
  <si>
    <t>Campanhas Internas) Banner de Intranet (Dia das Mães, Dia dos Pais, Dia das Crianças, SIPAT, Mês da Diversidade, Mês do Orgulho, Dia das Mulheres, etc)</t>
  </si>
  <si>
    <t>Marca Empregadora</t>
  </si>
  <si>
    <t>Campanhas anuais) E-mail (Programa de Estágio, Trainee, Summer Job e outras)</t>
  </si>
  <si>
    <t>Campanhas anuais) Peça para TV (Programa de Estágio, Trainee, Summer Job e outras)</t>
  </si>
  <si>
    <t>Campanhas anuais) Peça para Yammer (Programa de Estágio, Trainee, Summer Job e outras)</t>
  </si>
  <si>
    <t>Campanhas anuais) Banner de Intranet (Programa de Estágio, Trainee, Summer Job e outras)</t>
  </si>
  <si>
    <t>Posts estáticos ou carrossel</t>
  </si>
  <si>
    <t>Stories</t>
  </si>
  <si>
    <t>Reels ou vídeos curtos</t>
  </si>
  <si>
    <t>Peças estáticas de mídia</t>
  </si>
  <si>
    <t>Landing pages</t>
  </si>
  <si>
    <t>Emkt único</t>
  </si>
  <si>
    <t>Apresentações</t>
  </si>
  <si>
    <t>Posts pré-evento eventos patrocinados</t>
  </si>
  <si>
    <t>Posts pós-evento eventos patrocinados</t>
  </si>
  <si>
    <t>E-mails de convite eventos patrocinados</t>
  </si>
  <si>
    <t>E-mails de convite Núclea Day</t>
  </si>
  <si>
    <t>Peças de WhatsApp Núclea Day</t>
  </si>
  <si>
    <t>Posts pré-evento Núclea Day</t>
  </si>
  <si>
    <t>Posts pós-evento Núclea Day</t>
  </si>
  <si>
    <t>KV Núclea Day</t>
  </si>
  <si>
    <t>Wallpapers</t>
  </si>
  <si>
    <t>Banners intranet</t>
  </si>
  <si>
    <t>E-mails campanhas internas</t>
  </si>
  <si>
    <t>Peças para TV campanhas internas</t>
  </si>
  <si>
    <t>Banners intranet campanhas internas</t>
  </si>
  <si>
    <t>E-mails campanha marca empregadora</t>
  </si>
  <si>
    <t>Peças para TV campanha marca empregadora</t>
  </si>
  <si>
    <t>ENTREGÁVEIS</t>
  </si>
  <si>
    <t>QUANTIDADE/MÊS</t>
  </si>
  <si>
    <t>QUANTIDADE/ANO</t>
  </si>
  <si>
    <t>GRUPOS</t>
  </si>
  <si>
    <t>cooldown_dias</t>
  </si>
  <si>
    <t>Redes Sociais (Social)</t>
  </si>
  <si>
    <t>Mídia Paga</t>
  </si>
  <si>
    <t>Landing Page</t>
  </si>
  <si>
    <t>Apresentação</t>
  </si>
  <si>
    <t>Site</t>
  </si>
  <si>
    <t>Eventos</t>
  </si>
  <si>
    <t>Peças gráficas de mobilização</t>
  </si>
  <si>
    <t>Peças gráficas de eventos</t>
  </si>
  <si>
    <t>Layout para stand</t>
  </si>
  <si>
    <t>KV de eventos</t>
  </si>
  <si>
    <t>KV de mobilização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</si>
</sst>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434343"/>
      <name val="Aptos Narrow"/>
      <family val="2"/>
      <scheme val="minor"/>
    </font>
    <font>
      <sz val="8"/>
      <color rgb="FF434343"/>
      <name val="Aptos Narrow"/>
      <family val="2"/>
      <scheme val="minor"/>
    </font>
    <font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D1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356854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356854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dotted">
        <color rgb="FF000000"/>
      </left>
      <right style="medium">
        <color rgb="FFD9D9D9"/>
      </right>
      <top style="medium">
        <color rgb="FF284E3F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284E3F"/>
      </top>
      <bottom style="medium">
        <color rgb="FFD9D9D9"/>
      </bottom>
      <diagonal/>
    </border>
    <border>
      <left style="medium">
        <color rgb="FFD9D9D9"/>
      </left>
      <right style="dotted">
        <color rgb="FF000000"/>
      </right>
      <top style="medium">
        <color rgb="FF284E3F"/>
      </top>
      <bottom style="medium">
        <color rgb="FFD9D9D9"/>
      </bottom>
      <diagonal/>
    </border>
    <border>
      <left style="dotted">
        <color rgb="FF000000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dotted">
        <color rgb="FF000000"/>
      </right>
      <top style="medium">
        <color rgb="FFD9D9D9"/>
      </top>
      <bottom style="medium">
        <color rgb="FFD9D9D9"/>
      </bottom>
      <diagonal/>
    </border>
    <border>
      <left style="dotted">
        <color rgb="FF000000"/>
      </left>
      <right style="medium">
        <color rgb="FFD9D9D9"/>
      </right>
      <top style="medium">
        <color rgb="FFD9D9D9"/>
      </top>
      <bottom style="dotted">
        <color rgb="FF000000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dotted">
        <color rgb="FF000000"/>
      </bottom>
      <diagonal/>
    </border>
    <border>
      <left style="medium">
        <color rgb="FFD9D9D9"/>
      </left>
      <right style="dotted">
        <color rgb="FF000000"/>
      </right>
      <top style="medium">
        <color rgb="FFD9D9D9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0" fillId="4" borderId="8" xfId="0" applyFill="1" applyBorder="1" applyAlignment="1">
      <alignment vertical="center" wrapText="1"/>
    </xf>
    <xf numFmtId="0" fontId="3" fillId="4" borderId="8" xfId="0" applyFont="1" applyFill="1" applyBorder="1" applyAlignment="1">
      <alignment vertical="center" wrapText="1"/>
    </xf>
    <xf numFmtId="0" fontId="3" fillId="4" borderId="9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9" xfId="0" applyFont="1" applyFill="1" applyBorder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4" borderId="12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vertical="center" wrapText="1"/>
    </xf>
    <xf numFmtId="0" fontId="0" fillId="3" borderId="11" xfId="0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3" fillId="3" borderId="12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13" xfId="1" applyFont="1" applyBorder="1"/>
    <xf numFmtId="0" fontId="6" fillId="0" borderId="13" xfId="1" applyFont="1" applyBorder="1" applyAlignment="1">
      <alignment horizontal="center" vertical="center"/>
    </xf>
    <xf numFmtId="0" fontId="6" fillId="5" borderId="13" xfId="1" applyFont="1" applyFill="1" applyBorder="1"/>
    <xf numFmtId="0" fontId="6" fillId="5" borderId="13" xfId="1" applyFont="1" applyFill="1" applyBorder="1" applyAlignment="1">
      <alignment horizontal="center" vertical="center"/>
    </xf>
    <xf numFmtId="0" fontId="6" fillId="6" borderId="13" xfId="1" applyFont="1" applyFill="1" applyBorder="1"/>
    <xf numFmtId="0" fontId="6" fillId="6" borderId="13" xfId="1" applyFont="1" applyFill="1" applyBorder="1" applyAlignment="1">
      <alignment horizontal="center" vertical="center"/>
    </xf>
    <xf numFmtId="0" fontId="5" fillId="0" borderId="13" xfId="1" applyFont="1" applyBorder="1"/>
    <xf numFmtId="0" fontId="6" fillId="7" borderId="13" xfId="1" applyFont="1" applyFill="1" applyBorder="1"/>
    <xf numFmtId="0" fontId="6" fillId="7" borderId="13" xfId="1" applyFont="1" applyFill="1" applyBorder="1" applyAlignment="1">
      <alignment horizontal="center" vertical="center"/>
    </xf>
    <xf numFmtId="0" fontId="5" fillId="6" borderId="13" xfId="1" applyFont="1" applyFill="1" applyBorder="1"/>
  </cellXfs>
  <cellStyles count="3">
    <cellStyle name="Normal" xfId="0" builtinId="0"/>
    <cellStyle name="Normal 2" xfId="2" xr:uid="{958466DC-D0E2-4E40-BBAF-A512253F5F8E}"/>
    <cellStyle name="Normal 3" xfId="1" xr:uid="{BC619484-4B65-409D-BCB4-BBB7E84D04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1"/>
  <sheetViews>
    <sheetView workbookViewId="0">
      <selection activeCell="C25" sqref="C25"/>
    </sheetView>
  </sheetViews>
  <sheetFormatPr defaultColWidth="52" defaultRowHeight="15"/>
  <cols>
    <col min="2" max="2" width="13.5703125" bestFit="1" customWidth="1"/>
    <col min="3" max="3" width="51.85546875" bestFit="1" customWidth="1"/>
    <col min="4" max="5" width="9.42578125" bestFit="1" customWidth="1"/>
  </cols>
  <sheetData>
    <row r="1" spans="2:5" ht="15.75" thickBot="1"/>
    <row r="2" spans="2:5" ht="23.25" thickBot="1">
      <c r="B2" s="1" t="s">
        <v>0</v>
      </c>
      <c r="C2" s="2" t="s">
        <v>1</v>
      </c>
      <c r="D2" s="2" t="s">
        <v>2</v>
      </c>
      <c r="E2" s="3" t="s">
        <v>3</v>
      </c>
    </row>
    <row r="3" spans="2:5" ht="23.25" thickBot="1">
      <c r="B3" s="4" t="s">
        <v>4</v>
      </c>
      <c r="C3" s="6" t="s">
        <v>5</v>
      </c>
      <c r="D3" s="6">
        <v>20</v>
      </c>
      <c r="E3" s="7">
        <v>240</v>
      </c>
    </row>
    <row r="4" spans="2:5" ht="15.75" thickBot="1">
      <c r="B4" s="8" t="s">
        <v>4</v>
      </c>
      <c r="C4" s="10" t="s">
        <v>6</v>
      </c>
      <c r="D4" s="10">
        <v>12</v>
      </c>
      <c r="E4" s="11">
        <v>144</v>
      </c>
    </row>
    <row r="5" spans="2:5" ht="23.25" thickBot="1">
      <c r="B5" s="12" t="s">
        <v>4</v>
      </c>
      <c r="C5" s="14" t="s">
        <v>7</v>
      </c>
      <c r="D5" s="14">
        <v>4</v>
      </c>
      <c r="E5" s="15">
        <v>48</v>
      </c>
    </row>
    <row r="6" spans="2:5" ht="34.5" thickBot="1">
      <c r="B6" s="8" t="s">
        <v>8</v>
      </c>
      <c r="C6" s="10" t="s">
        <v>9</v>
      </c>
      <c r="D6" s="9"/>
      <c r="E6" s="11">
        <v>50</v>
      </c>
    </row>
    <row r="7" spans="2:5" ht="15.75" thickBot="1">
      <c r="B7" s="12" t="s">
        <v>10</v>
      </c>
      <c r="C7" s="14" t="s">
        <v>11</v>
      </c>
      <c r="D7" s="14">
        <v>2</v>
      </c>
      <c r="E7" s="15">
        <v>24</v>
      </c>
    </row>
    <row r="8" spans="2:5" ht="15.75" thickBot="1">
      <c r="B8" s="8" t="s">
        <v>10</v>
      </c>
      <c r="C8" s="10" t="s">
        <v>12</v>
      </c>
      <c r="D8" s="10">
        <v>4</v>
      </c>
      <c r="E8" s="11">
        <v>48</v>
      </c>
    </row>
    <row r="9" spans="2:5" ht="15.75" thickBot="1">
      <c r="B9" s="12" t="s">
        <v>13</v>
      </c>
      <c r="C9" s="14" t="s">
        <v>14</v>
      </c>
      <c r="D9" s="14">
        <v>1</v>
      </c>
      <c r="E9" s="15">
        <v>12</v>
      </c>
    </row>
    <row r="10" spans="2:5" ht="15.75" thickBot="1">
      <c r="B10" s="8" t="s">
        <v>13</v>
      </c>
      <c r="C10" s="10" t="s">
        <v>15</v>
      </c>
      <c r="D10" s="10">
        <v>2</v>
      </c>
      <c r="E10" s="11">
        <v>24</v>
      </c>
    </row>
    <row r="11" spans="2:5" ht="15.75" thickBot="1">
      <c r="B11" s="12" t="s">
        <v>13</v>
      </c>
      <c r="C11" s="14" t="s">
        <v>16</v>
      </c>
      <c r="D11" s="13"/>
      <c r="E11" s="15">
        <v>2</v>
      </c>
    </row>
    <row r="12" spans="2:5" ht="15.75" thickBot="1">
      <c r="B12" s="16" t="s">
        <v>17</v>
      </c>
      <c r="C12" s="17" t="s">
        <v>18</v>
      </c>
      <c r="D12" s="17">
        <v>2</v>
      </c>
      <c r="E12" s="18">
        <v>24</v>
      </c>
    </row>
    <row r="13" spans="2:5" ht="23.25" thickBot="1">
      <c r="B13" s="4" t="s">
        <v>19</v>
      </c>
      <c r="C13" s="6" t="s">
        <v>20</v>
      </c>
      <c r="D13" s="5"/>
      <c r="E13" s="7">
        <v>5</v>
      </c>
    </row>
    <row r="14" spans="2:5" ht="23.25" thickBot="1">
      <c r="B14" s="8" t="s">
        <v>19</v>
      </c>
      <c r="C14" s="10" t="s">
        <v>21</v>
      </c>
      <c r="D14" s="9"/>
      <c r="E14" s="11">
        <v>5</v>
      </c>
    </row>
    <row r="15" spans="2:5" ht="23.25" thickBot="1">
      <c r="B15" s="12" t="s">
        <v>19</v>
      </c>
      <c r="C15" s="14" t="s">
        <v>22</v>
      </c>
      <c r="D15" s="13"/>
      <c r="E15" s="15">
        <v>5</v>
      </c>
    </row>
    <row r="16" spans="2:5" ht="23.25" thickBot="1">
      <c r="B16" s="8" t="s">
        <v>19</v>
      </c>
      <c r="C16" s="10" t="s">
        <v>23</v>
      </c>
      <c r="D16" s="9"/>
      <c r="E16" s="11">
        <v>5</v>
      </c>
    </row>
    <row r="17" spans="2:5" ht="23.25" thickBot="1">
      <c r="B17" s="12" t="s">
        <v>19</v>
      </c>
      <c r="C17" s="14" t="s">
        <v>24</v>
      </c>
      <c r="D17" s="14">
        <v>1</v>
      </c>
      <c r="E17" s="15">
        <v>12</v>
      </c>
    </row>
    <row r="18" spans="2:5" ht="23.25" thickBot="1">
      <c r="B18" s="8" t="s">
        <v>19</v>
      </c>
      <c r="C18" s="10" t="s">
        <v>25</v>
      </c>
      <c r="D18" s="10">
        <v>1</v>
      </c>
      <c r="E18" s="11">
        <v>12</v>
      </c>
    </row>
    <row r="19" spans="2:5" ht="23.25" thickBot="1">
      <c r="B19" s="12" t="s">
        <v>19</v>
      </c>
      <c r="C19" s="14" t="s">
        <v>26</v>
      </c>
      <c r="D19" s="14">
        <v>1</v>
      </c>
      <c r="E19" s="15">
        <v>12</v>
      </c>
    </row>
    <row r="20" spans="2:5" ht="23.25" thickBot="1">
      <c r="B20" s="8" t="s">
        <v>19</v>
      </c>
      <c r="C20" s="10" t="s">
        <v>27</v>
      </c>
      <c r="D20" s="10">
        <v>1</v>
      </c>
      <c r="E20" s="11">
        <v>12</v>
      </c>
    </row>
    <row r="21" spans="2:5" ht="23.25" thickBot="1">
      <c r="B21" s="19" t="s">
        <v>19</v>
      </c>
      <c r="C21" s="21" t="s">
        <v>28</v>
      </c>
      <c r="D21" s="20"/>
      <c r="E21" s="22">
        <v>1</v>
      </c>
    </row>
    <row r="22" spans="2:5" ht="15.75" thickBot="1">
      <c r="B22" s="4" t="s">
        <v>29</v>
      </c>
      <c r="C22" s="6" t="s">
        <v>30</v>
      </c>
      <c r="D22" s="6">
        <v>1</v>
      </c>
      <c r="E22" s="7">
        <v>12</v>
      </c>
    </row>
    <row r="23" spans="2:5" ht="15.75" thickBot="1">
      <c r="B23" s="12" t="s">
        <v>29</v>
      </c>
      <c r="C23" s="14" t="s">
        <v>31</v>
      </c>
      <c r="D23" s="14">
        <v>4</v>
      </c>
      <c r="E23" s="15">
        <v>48</v>
      </c>
    </row>
    <row r="24" spans="2:5" ht="23.25" thickBot="1">
      <c r="B24" s="8" t="s">
        <v>29</v>
      </c>
      <c r="C24" s="10" t="s">
        <v>32</v>
      </c>
      <c r="D24" s="10">
        <v>1</v>
      </c>
      <c r="E24" s="11">
        <v>12</v>
      </c>
    </row>
    <row r="25" spans="2:5" ht="23.25" thickBot="1">
      <c r="B25" s="12" t="s">
        <v>29</v>
      </c>
      <c r="C25" s="14" t="s">
        <v>33</v>
      </c>
      <c r="D25" s="14">
        <v>1</v>
      </c>
      <c r="E25" s="15">
        <v>12</v>
      </c>
    </row>
    <row r="26" spans="2:5" ht="23.25" thickBot="1">
      <c r="B26" s="8" t="s">
        <v>29</v>
      </c>
      <c r="C26" s="10" t="s">
        <v>34</v>
      </c>
      <c r="D26" s="10">
        <v>1</v>
      </c>
      <c r="E26" s="11">
        <v>12</v>
      </c>
    </row>
    <row r="27" spans="2:5" ht="23.25" thickBot="1">
      <c r="B27" s="12" t="s">
        <v>29</v>
      </c>
      <c r="C27" s="14" t="s">
        <v>35</v>
      </c>
      <c r="D27" s="14">
        <v>1</v>
      </c>
      <c r="E27" s="15">
        <v>12</v>
      </c>
    </row>
    <row r="28" spans="2:5" ht="23.25" thickBot="1">
      <c r="B28" s="8" t="s">
        <v>36</v>
      </c>
      <c r="C28" s="10" t="s">
        <v>37</v>
      </c>
      <c r="D28" s="9"/>
      <c r="E28" s="11">
        <v>6</v>
      </c>
    </row>
    <row r="29" spans="2:5" ht="23.25" thickBot="1">
      <c r="B29" s="12" t="s">
        <v>36</v>
      </c>
      <c r="C29" s="14" t="s">
        <v>38</v>
      </c>
      <c r="D29" s="13"/>
      <c r="E29" s="15">
        <v>6</v>
      </c>
    </row>
    <row r="30" spans="2:5" ht="23.25" thickBot="1">
      <c r="B30" s="8" t="s">
        <v>36</v>
      </c>
      <c r="C30" s="10" t="s">
        <v>39</v>
      </c>
      <c r="D30" s="9"/>
      <c r="E30" s="11">
        <v>6</v>
      </c>
    </row>
    <row r="31" spans="2:5" ht="22.5">
      <c r="B31" s="19" t="s">
        <v>36</v>
      </c>
      <c r="C31" s="21" t="s">
        <v>40</v>
      </c>
      <c r="D31" s="20"/>
      <c r="E31" s="22">
        <v>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31"/>
  <sheetViews>
    <sheetView tabSelected="1" topLeftCell="A7" workbookViewId="0">
      <selection activeCell="C25" sqref="C25"/>
    </sheetView>
  </sheetViews>
  <sheetFormatPr defaultColWidth="52" defaultRowHeight="15"/>
  <cols>
    <col min="2" max="2" width="23.7109375" bestFit="1" customWidth="1"/>
    <col min="3" max="3" width="51.85546875" bestFit="1" customWidth="1"/>
    <col min="4" max="5" width="14.28515625" style="23" customWidth="1"/>
  </cols>
  <sheetData>
    <row r="2" spans="2:6">
      <c r="B2" s="24" t="s">
        <v>66</v>
      </c>
      <c r="C2" s="24" t="s">
        <v>63</v>
      </c>
      <c r="D2" s="24" t="s">
        <v>64</v>
      </c>
      <c r="E2" s="24" t="s">
        <v>65</v>
      </c>
      <c r="F2" s="25" t="s">
        <v>67</v>
      </c>
    </row>
    <row r="3" spans="2:6">
      <c r="B3" s="32" t="s">
        <v>68</v>
      </c>
      <c r="C3" s="26" t="s">
        <v>41</v>
      </c>
      <c r="D3" s="27">
        <f>E3/12</f>
        <v>20</v>
      </c>
      <c r="E3" s="27">
        <v>240</v>
      </c>
      <c r="F3">
        <v>2</v>
      </c>
    </row>
    <row r="4" spans="2:6">
      <c r="B4" s="26" t="s">
        <v>68</v>
      </c>
      <c r="C4" s="26" t="s">
        <v>42</v>
      </c>
      <c r="D4" s="27">
        <f t="shared" ref="D4:D29" si="0">E4/12</f>
        <v>12</v>
      </c>
      <c r="E4" s="27">
        <v>144</v>
      </c>
      <c r="F4">
        <v>2</v>
      </c>
    </row>
    <row r="5" spans="2:6">
      <c r="B5" s="26" t="s">
        <v>68</v>
      </c>
      <c r="C5" s="26" t="s">
        <v>43</v>
      </c>
      <c r="D5" s="27">
        <f t="shared" si="0"/>
        <v>4</v>
      </c>
      <c r="E5" s="27">
        <v>48</v>
      </c>
      <c r="F5">
        <v>2</v>
      </c>
    </row>
    <row r="6" spans="2:6">
      <c r="B6" s="26" t="s">
        <v>69</v>
      </c>
      <c r="C6" s="26" t="s">
        <v>44</v>
      </c>
      <c r="D6" s="27">
        <f t="shared" si="0"/>
        <v>5</v>
      </c>
      <c r="E6" s="27">
        <v>60</v>
      </c>
      <c r="F6">
        <v>2</v>
      </c>
    </row>
    <row r="7" spans="2:6">
      <c r="B7" s="26" t="s">
        <v>70</v>
      </c>
      <c r="C7" s="26" t="s">
        <v>45</v>
      </c>
      <c r="D7" s="27">
        <f t="shared" si="0"/>
        <v>1</v>
      </c>
      <c r="E7" s="27">
        <v>12</v>
      </c>
      <c r="F7">
        <v>2</v>
      </c>
    </row>
    <row r="8" spans="2:6">
      <c r="B8" s="26" t="s">
        <v>13</v>
      </c>
      <c r="C8" s="26" t="s">
        <v>14</v>
      </c>
      <c r="D8" s="27"/>
      <c r="E8" s="27">
        <v>1</v>
      </c>
      <c r="F8">
        <v>2</v>
      </c>
    </row>
    <row r="9" spans="2:6">
      <c r="B9" s="26" t="s">
        <v>13</v>
      </c>
      <c r="C9" s="26" t="s">
        <v>46</v>
      </c>
      <c r="D9" s="27">
        <f t="shared" si="0"/>
        <v>1</v>
      </c>
      <c r="E9" s="27">
        <v>12</v>
      </c>
      <c r="F9">
        <v>2</v>
      </c>
    </row>
    <row r="10" spans="2:6">
      <c r="B10" s="26" t="s">
        <v>71</v>
      </c>
      <c r="C10" s="26" t="s">
        <v>47</v>
      </c>
      <c r="D10" s="27">
        <f t="shared" si="0"/>
        <v>2</v>
      </c>
      <c r="E10" s="27">
        <v>24</v>
      </c>
      <c r="F10">
        <v>2</v>
      </c>
    </row>
    <row r="11" spans="2:6">
      <c r="B11" s="28" t="s">
        <v>72</v>
      </c>
      <c r="C11" s="28" t="s">
        <v>72</v>
      </c>
      <c r="D11" s="27"/>
      <c r="E11" s="29">
        <v>6</v>
      </c>
      <c r="F11">
        <v>2</v>
      </c>
    </row>
    <row r="12" spans="2:6">
      <c r="B12" s="26" t="s">
        <v>73</v>
      </c>
      <c r="C12" s="32" t="s">
        <v>50</v>
      </c>
      <c r="D12" s="27"/>
      <c r="E12" s="27">
        <v>5</v>
      </c>
      <c r="F12">
        <v>2</v>
      </c>
    </row>
    <row r="13" spans="2:6">
      <c r="B13" s="26" t="s">
        <v>73</v>
      </c>
      <c r="C13" s="26" t="s">
        <v>48</v>
      </c>
      <c r="D13" s="27"/>
      <c r="E13" s="27">
        <v>5</v>
      </c>
      <c r="F13">
        <v>150</v>
      </c>
    </row>
    <row r="14" spans="2:6">
      <c r="B14" s="26" t="s">
        <v>73</v>
      </c>
      <c r="C14" s="26" t="s">
        <v>49</v>
      </c>
      <c r="D14" s="27"/>
      <c r="E14" s="27">
        <v>5</v>
      </c>
      <c r="F14">
        <v>150</v>
      </c>
    </row>
    <row r="15" spans="2:6">
      <c r="B15" s="28" t="s">
        <v>73</v>
      </c>
      <c r="C15" s="28" t="s">
        <v>75</v>
      </c>
      <c r="D15" s="27"/>
      <c r="E15" s="29">
        <v>10</v>
      </c>
      <c r="F15">
        <v>150</v>
      </c>
    </row>
    <row r="16" spans="2:6">
      <c r="B16" s="26" t="s">
        <v>73</v>
      </c>
      <c r="C16" s="32" t="s">
        <v>76</v>
      </c>
      <c r="D16" s="27"/>
      <c r="E16" s="27">
        <v>5</v>
      </c>
      <c r="F16">
        <v>150</v>
      </c>
    </row>
    <row r="17" spans="2:6">
      <c r="B17" s="26" t="s">
        <v>73</v>
      </c>
      <c r="C17" s="26" t="s">
        <v>77</v>
      </c>
      <c r="D17" s="27"/>
      <c r="E17" s="27">
        <v>4</v>
      </c>
      <c r="F17">
        <v>5</v>
      </c>
    </row>
    <row r="18" spans="2:6">
      <c r="B18" s="26" t="s">
        <v>73</v>
      </c>
      <c r="C18" s="26" t="s">
        <v>51</v>
      </c>
      <c r="D18" s="27">
        <f t="shared" si="0"/>
        <v>1</v>
      </c>
      <c r="E18" s="27">
        <v>12</v>
      </c>
      <c r="F18">
        <v>5</v>
      </c>
    </row>
    <row r="19" spans="2:6">
      <c r="B19" s="26" t="s">
        <v>73</v>
      </c>
      <c r="C19" s="32" t="s">
        <v>52</v>
      </c>
      <c r="D19" s="27">
        <f t="shared" si="0"/>
        <v>1</v>
      </c>
      <c r="E19" s="27">
        <v>12</v>
      </c>
      <c r="F19">
        <v>5</v>
      </c>
    </row>
    <row r="20" spans="2:6">
      <c r="B20" s="26" t="s">
        <v>73</v>
      </c>
      <c r="C20" s="26" t="s">
        <v>53</v>
      </c>
      <c r="D20" s="27">
        <f t="shared" si="0"/>
        <v>1</v>
      </c>
      <c r="E20" s="27">
        <v>12</v>
      </c>
      <c r="F20">
        <v>5</v>
      </c>
    </row>
    <row r="21" spans="2:6">
      <c r="B21" s="26" t="s">
        <v>73</v>
      </c>
      <c r="C21" s="26" t="s">
        <v>54</v>
      </c>
      <c r="D21" s="27">
        <f t="shared" si="0"/>
        <v>1</v>
      </c>
      <c r="E21" s="27">
        <v>12</v>
      </c>
      <c r="F21">
        <v>200</v>
      </c>
    </row>
    <row r="22" spans="2:6">
      <c r="B22" s="26" t="s">
        <v>73</v>
      </c>
      <c r="C22" s="26" t="s">
        <v>55</v>
      </c>
      <c r="D22" s="27"/>
      <c r="E22" s="27">
        <v>1</v>
      </c>
      <c r="F22">
        <v>5</v>
      </c>
    </row>
    <row r="23" spans="2:6">
      <c r="B23" s="30" t="s">
        <v>29</v>
      </c>
      <c r="C23" s="30" t="s">
        <v>56</v>
      </c>
      <c r="D23" s="27">
        <f t="shared" si="0"/>
        <v>1</v>
      </c>
      <c r="E23" s="31">
        <v>12</v>
      </c>
      <c r="F23">
        <v>5</v>
      </c>
    </row>
    <row r="24" spans="2:6">
      <c r="B24" s="30" t="s">
        <v>29</v>
      </c>
      <c r="C24" s="30" t="s">
        <v>57</v>
      </c>
      <c r="D24" s="27">
        <f t="shared" si="0"/>
        <v>4</v>
      </c>
      <c r="E24" s="31">
        <v>48</v>
      </c>
      <c r="F24">
        <v>5</v>
      </c>
    </row>
    <row r="25" spans="2:6">
      <c r="B25" s="30" t="s">
        <v>29</v>
      </c>
      <c r="C25" s="35" t="s">
        <v>78</v>
      </c>
      <c r="D25" s="27"/>
      <c r="E25" s="31">
        <v>1</v>
      </c>
      <c r="F25">
        <v>5</v>
      </c>
    </row>
    <row r="26" spans="2:6">
      <c r="B26" s="30" t="s">
        <v>29</v>
      </c>
      <c r="C26" s="30" t="s">
        <v>58</v>
      </c>
      <c r="D26" s="27">
        <f t="shared" si="0"/>
        <v>1</v>
      </c>
      <c r="E26" s="31">
        <v>12</v>
      </c>
      <c r="F26">
        <v>5</v>
      </c>
    </row>
    <row r="27" spans="2:6">
      <c r="B27" s="30" t="s">
        <v>29</v>
      </c>
      <c r="C27" s="30" t="s">
        <v>59</v>
      </c>
      <c r="D27" s="27">
        <f t="shared" si="0"/>
        <v>1</v>
      </c>
      <c r="E27" s="31">
        <v>12</v>
      </c>
      <c r="F27">
        <v>5</v>
      </c>
    </row>
    <row r="28" spans="2:6">
      <c r="B28" s="30" t="s">
        <v>29</v>
      </c>
      <c r="C28" s="30" t="s">
        <v>74</v>
      </c>
      <c r="D28" s="27">
        <f t="shared" si="0"/>
        <v>1</v>
      </c>
      <c r="E28" s="31">
        <v>12</v>
      </c>
      <c r="F28">
        <v>90</v>
      </c>
    </row>
    <row r="29" spans="2:6">
      <c r="B29" s="30" t="s">
        <v>29</v>
      </c>
      <c r="C29" s="30" t="s">
        <v>60</v>
      </c>
      <c r="D29" s="27">
        <f t="shared" si="0"/>
        <v>1</v>
      </c>
      <c r="E29" s="31">
        <v>12</v>
      </c>
      <c r="F29">
        <v>90</v>
      </c>
    </row>
    <row r="30" spans="2:6">
      <c r="B30" s="30" t="s">
        <v>29</v>
      </c>
      <c r="C30" s="33" t="s">
        <v>61</v>
      </c>
      <c r="D30" s="27"/>
      <c r="E30" s="34">
        <v>6</v>
      </c>
      <c r="F30">
        <v>90</v>
      </c>
    </row>
    <row r="31" spans="2:6">
      <c r="B31" s="30" t="s">
        <v>29</v>
      </c>
      <c r="C31" s="33" t="s">
        <v>62</v>
      </c>
      <c r="D31" s="27"/>
      <c r="E31" s="34">
        <v>6</v>
      </c>
      <c r="F31">
        <v>90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Renata Esposito Gil</dc:creator>
  <cp:lastModifiedBy>caiofs</cp:lastModifiedBy>
  <dcterms:created xsi:type="dcterms:W3CDTF">2026-04-26T15:21:20Z</dcterms:created>
  <dcterms:modified xsi:type="dcterms:W3CDTF">2026-07-23T18:18:49Z</dcterms:modified>
</cp:coreProperties>
</file>